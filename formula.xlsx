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ProgramData\workspace-codeby\ting-studio\"/>
    </mc:Choice>
  </mc:AlternateContent>
  <xr:revisionPtr revIDLastSave="0" documentId="13_ncr:1_{304D8047-B213-49E2-9437-E869B77B06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1" i="1" l="1"/>
  <c r="F71" i="1"/>
  <c r="M70" i="1"/>
  <c r="M69" i="1"/>
  <c r="F69" i="1"/>
  <c r="C69" i="1"/>
  <c r="F68" i="1"/>
  <c r="D68" i="1"/>
  <c r="M67" i="1"/>
  <c r="F67" i="1"/>
  <c r="M66" i="1"/>
  <c r="K66" i="1"/>
  <c r="F66" i="1"/>
  <c r="M65" i="1"/>
  <c r="K65" i="1"/>
  <c r="F65" i="1"/>
  <c r="D65" i="1"/>
  <c r="M64" i="1"/>
  <c r="K64" i="1"/>
  <c r="F64" i="1"/>
  <c r="D64" i="1"/>
  <c r="M63" i="1"/>
  <c r="K63" i="1"/>
  <c r="F63" i="1"/>
  <c r="D63" i="1"/>
  <c r="M62" i="1"/>
  <c r="K62" i="1"/>
  <c r="F62" i="1"/>
  <c r="D62" i="1"/>
  <c r="M61" i="1"/>
  <c r="K61" i="1"/>
  <c r="F61" i="1"/>
  <c r="D61" i="1"/>
  <c r="M60" i="1"/>
  <c r="K60" i="1"/>
  <c r="F60" i="1"/>
  <c r="D60" i="1"/>
  <c r="M59" i="1"/>
  <c r="K59" i="1"/>
  <c r="F59" i="1"/>
  <c r="D59" i="1"/>
  <c r="M52" i="1"/>
  <c r="F52" i="1"/>
  <c r="M51" i="1"/>
  <c r="M50" i="1"/>
  <c r="F50" i="1"/>
  <c r="C50" i="1"/>
  <c r="K49" i="1"/>
  <c r="F49" i="1"/>
  <c r="D49" i="1"/>
  <c r="M48" i="1"/>
  <c r="F48" i="1"/>
  <c r="M47" i="1"/>
  <c r="K47" i="1"/>
  <c r="F47" i="1"/>
  <c r="M46" i="1"/>
  <c r="K46" i="1"/>
  <c r="F46" i="1"/>
  <c r="D46" i="1"/>
  <c r="M45" i="1"/>
  <c r="K45" i="1"/>
  <c r="F45" i="1"/>
  <c r="D45" i="1"/>
  <c r="M44" i="1"/>
  <c r="K44" i="1"/>
  <c r="F44" i="1"/>
  <c r="D44" i="1"/>
  <c r="M43" i="1"/>
  <c r="K43" i="1"/>
  <c r="F43" i="1"/>
  <c r="D43" i="1"/>
  <c r="M42" i="1"/>
  <c r="K42" i="1"/>
  <c r="F42" i="1"/>
  <c r="D42" i="1"/>
  <c r="M41" i="1"/>
  <c r="K41" i="1"/>
  <c r="F41" i="1"/>
  <c r="D41" i="1"/>
  <c r="M36" i="1"/>
  <c r="F36" i="1"/>
  <c r="M35" i="1"/>
  <c r="M34" i="1"/>
  <c r="F34" i="1"/>
  <c r="C34" i="1"/>
  <c r="F33" i="1"/>
  <c r="D33" i="1"/>
  <c r="M32" i="1"/>
  <c r="F32" i="1"/>
  <c r="M31" i="1"/>
  <c r="K31" i="1"/>
  <c r="F31" i="1"/>
  <c r="M30" i="1"/>
  <c r="K30" i="1"/>
  <c r="F30" i="1"/>
  <c r="D30" i="1"/>
  <c r="M29" i="1"/>
  <c r="K29" i="1"/>
  <c r="F29" i="1"/>
  <c r="D29" i="1"/>
  <c r="M28" i="1"/>
  <c r="K28" i="1"/>
  <c r="F28" i="1"/>
  <c r="D28" i="1"/>
  <c r="M27" i="1"/>
  <c r="K27" i="1"/>
  <c r="F27" i="1"/>
  <c r="D27" i="1"/>
  <c r="M26" i="1"/>
  <c r="K26" i="1"/>
  <c r="F26" i="1"/>
  <c r="D26" i="1"/>
  <c r="M25" i="1"/>
  <c r="K25" i="1"/>
  <c r="F25" i="1"/>
  <c r="D25" i="1"/>
  <c r="M24" i="1"/>
  <c r="K24" i="1"/>
  <c r="F24" i="1"/>
  <c r="D24" i="1"/>
  <c r="M16" i="1"/>
  <c r="F16" i="1"/>
  <c r="M15" i="1"/>
  <c r="M14" i="1"/>
  <c r="F14" i="1"/>
  <c r="C14" i="1"/>
  <c r="F13" i="1"/>
  <c r="D13" i="1"/>
  <c r="M12" i="1"/>
  <c r="F12" i="1"/>
  <c r="M11" i="1"/>
  <c r="K11" i="1"/>
  <c r="F11" i="1"/>
  <c r="M10" i="1"/>
  <c r="K10" i="1"/>
  <c r="F10" i="1"/>
  <c r="D10" i="1"/>
  <c r="M9" i="1"/>
  <c r="K9" i="1"/>
  <c r="F9" i="1"/>
  <c r="D9" i="1"/>
  <c r="M8" i="1"/>
  <c r="K8" i="1"/>
  <c r="F8" i="1"/>
  <c r="D8" i="1"/>
  <c r="M7" i="1"/>
  <c r="K7" i="1"/>
  <c r="F7" i="1"/>
  <c r="D7" i="1"/>
  <c r="M6" i="1"/>
  <c r="K6" i="1"/>
  <c r="F6" i="1"/>
  <c r="D6" i="1"/>
  <c r="M5" i="1"/>
  <c r="K5" i="1"/>
  <c r="F5" i="1"/>
  <c r="D5" i="1"/>
  <c r="M4" i="1"/>
  <c r="K4" i="1"/>
  <c r="F4" i="1"/>
  <c r="D4" i="1"/>
</calcChain>
</file>

<file path=xl/sharedStrings.xml><?xml version="1.0" encoding="utf-8"?>
<sst xmlns="http://schemas.openxmlformats.org/spreadsheetml/2006/main" count="124" uniqueCount="34">
  <si>
    <t>固体饮料</t>
  </si>
  <si>
    <t>口服液</t>
  </si>
  <si>
    <t>1、消积、通便</t>
  </si>
  <si>
    <t>序号</t>
  </si>
  <si>
    <t>原料</t>
  </si>
  <si>
    <t>客户配比</t>
  </si>
  <si>
    <t>4g添加量（g)</t>
  </si>
  <si>
    <t>单价（元/kg)</t>
  </si>
  <si>
    <t>4g报价</t>
  </si>
  <si>
    <t>15g添加量（g)</t>
  </si>
  <si>
    <t>15g报价</t>
  </si>
  <si>
    <t>炒山楂</t>
  </si>
  <si>
    <t>炒麦芽</t>
  </si>
  <si>
    <t>莱菔子</t>
  </si>
  <si>
    <t>炒鸡内金</t>
  </si>
  <si>
    <t>茯苓</t>
  </si>
  <si>
    <t>陈皮</t>
  </si>
  <si>
    <t>火麻仁</t>
  </si>
  <si>
    <t>磷酸三钙</t>
  </si>
  <si>
    <t>低聚异麦芽糖</t>
  </si>
  <si>
    <t>蒲公英</t>
  </si>
  <si>
    <t>昆布</t>
  </si>
  <si>
    <t>罗汉果</t>
  </si>
  <si>
    <t>桔梗</t>
  </si>
  <si>
    <t>甘草</t>
  </si>
  <si>
    <t>山楂</t>
  </si>
  <si>
    <t>乌梅</t>
  </si>
  <si>
    <t>3、过敏体质</t>
  </si>
  <si>
    <t>大枣</t>
  </si>
  <si>
    <t>桑叶</t>
  </si>
  <si>
    <t>白芷</t>
  </si>
  <si>
    <t>4、咳嗽</t>
  </si>
  <si>
    <t>苦杏仁</t>
  </si>
  <si>
    <t>2、鼻炎、扁腺炎症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</si>
</sst>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362585</xdr:colOff>
      <xdr:row>1</xdr:row>
      <xdr:rowOff>161925</xdr:rowOff>
    </xdr:from>
    <xdr:to>
      <xdr:col>19</xdr:col>
      <xdr:colOff>505460</xdr:colOff>
      <xdr:row>20</xdr:row>
      <xdr:rowOff>66675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0685" y="333375"/>
          <a:ext cx="4257675" cy="3162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Q23" sqref="Q23"/>
    </sheetView>
  </sheetViews>
  <sheetFormatPr defaultColWidth="9" defaultRowHeight="13.5" x14ac:dyDescent="0.15"/>
  <cols>
    <col min="2" max="2" width="14.625" customWidth="1"/>
    <col min="4" max="4" width="12.5" customWidth="1"/>
    <col min="5" max="5" width="13" customWidth="1"/>
    <col min="6" max="6" width="12.625"/>
    <col min="9" max="9" width="14.625" customWidth="1"/>
    <col min="11" max="11" width="12.5" customWidth="1"/>
    <col min="12" max="12" width="13" customWidth="1"/>
    <col min="13" max="13" width="12.625"/>
  </cols>
  <sheetData>
    <row r="1" spans="1:13" x14ac:dyDescent="0.15">
      <c r="A1" t="s">
        <v>0</v>
      </c>
      <c r="H1" t="s">
        <v>1</v>
      </c>
    </row>
    <row r="2" spans="1:13" x14ac:dyDescent="0.15">
      <c r="A2" t="s">
        <v>2</v>
      </c>
      <c r="H2" t="s">
        <v>2</v>
      </c>
    </row>
    <row r="3" spans="1:13" x14ac:dyDescent="0.1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H3" t="s">
        <v>3</v>
      </c>
      <c r="I3" t="s">
        <v>4</v>
      </c>
      <c r="J3" t="s">
        <v>5</v>
      </c>
      <c r="K3" t="s">
        <v>9</v>
      </c>
      <c r="L3" t="s">
        <v>7</v>
      </c>
      <c r="M3" t="s">
        <v>10</v>
      </c>
    </row>
    <row r="4" spans="1:13" x14ac:dyDescent="0.15">
      <c r="B4" t="s">
        <v>11</v>
      </c>
      <c r="C4">
        <v>6</v>
      </c>
      <c r="D4">
        <f>C4/48*2.48</f>
        <v>0.31</v>
      </c>
      <c r="E4">
        <v>60</v>
      </c>
      <c r="F4">
        <f>E4/1000*D4</f>
        <v>1.8599999999999998E-2</v>
      </c>
      <c r="I4" t="s">
        <v>11</v>
      </c>
      <c r="J4">
        <v>6</v>
      </c>
      <c r="K4">
        <f>J4/4</f>
        <v>1.5</v>
      </c>
      <c r="L4">
        <v>14</v>
      </c>
      <c r="M4">
        <f t="shared" ref="M4:M12" si="0">L4/1000*K4</f>
        <v>2.1000000000000001E-2</v>
      </c>
    </row>
    <row r="5" spans="1:13" x14ac:dyDescent="0.15">
      <c r="B5" t="s">
        <v>12</v>
      </c>
      <c r="C5">
        <v>9</v>
      </c>
      <c r="D5">
        <f t="shared" ref="D5:D10" si="1">C5/48*2.48</f>
        <v>0.46500000000000002</v>
      </c>
      <c r="E5">
        <v>55</v>
      </c>
      <c r="F5">
        <f t="shared" ref="F5:F11" si="2">E5/1000*D5</f>
        <v>2.5575000000000001E-2</v>
      </c>
      <c r="I5" t="s">
        <v>12</v>
      </c>
      <c r="J5">
        <v>9</v>
      </c>
      <c r="K5">
        <f t="shared" ref="K5:K10" si="3">J5/4</f>
        <v>2.25</v>
      </c>
      <c r="L5">
        <v>7</v>
      </c>
      <c r="M5">
        <f t="shared" si="0"/>
        <v>1.575E-2</v>
      </c>
    </row>
    <row r="6" spans="1:13" x14ac:dyDescent="0.15">
      <c r="B6" t="s">
        <v>13</v>
      </c>
      <c r="C6">
        <v>6</v>
      </c>
      <c r="D6">
        <f t="shared" si="1"/>
        <v>0.31</v>
      </c>
      <c r="E6">
        <v>70</v>
      </c>
      <c r="F6">
        <f t="shared" si="2"/>
        <v>2.1700000000000001E-2</v>
      </c>
      <c r="I6" t="s">
        <v>13</v>
      </c>
      <c r="J6">
        <v>6</v>
      </c>
      <c r="K6">
        <f t="shared" si="3"/>
        <v>1.5</v>
      </c>
      <c r="L6">
        <v>28</v>
      </c>
      <c r="M6">
        <f t="shared" si="0"/>
        <v>4.2000000000000003E-2</v>
      </c>
    </row>
    <row r="7" spans="1:13" x14ac:dyDescent="0.15">
      <c r="B7" t="s">
        <v>14</v>
      </c>
      <c r="C7">
        <v>3</v>
      </c>
      <c r="D7">
        <f t="shared" si="1"/>
        <v>0.155</v>
      </c>
      <c r="E7">
        <v>70</v>
      </c>
      <c r="F7">
        <f t="shared" si="2"/>
        <v>1.085E-2</v>
      </c>
      <c r="I7" t="s">
        <v>14</v>
      </c>
      <c r="J7">
        <v>3</v>
      </c>
      <c r="K7">
        <f t="shared" si="3"/>
        <v>0.75</v>
      </c>
      <c r="L7">
        <v>15</v>
      </c>
      <c r="M7">
        <f t="shared" si="0"/>
        <v>1.125E-2</v>
      </c>
    </row>
    <row r="8" spans="1:13" x14ac:dyDescent="0.15">
      <c r="B8" t="s">
        <v>15</v>
      </c>
      <c r="C8">
        <v>9</v>
      </c>
      <c r="D8">
        <f t="shared" si="1"/>
        <v>0.46500000000000002</v>
      </c>
      <c r="E8">
        <v>75</v>
      </c>
      <c r="F8">
        <f t="shared" si="2"/>
        <v>3.4875000000000003E-2</v>
      </c>
      <c r="I8" t="s">
        <v>15</v>
      </c>
      <c r="J8">
        <v>9</v>
      </c>
      <c r="K8">
        <f t="shared" si="3"/>
        <v>2.25</v>
      </c>
      <c r="L8">
        <v>28</v>
      </c>
      <c r="M8">
        <f t="shared" si="0"/>
        <v>6.3E-2</v>
      </c>
    </row>
    <row r="9" spans="1:13" x14ac:dyDescent="0.15">
      <c r="B9" t="s">
        <v>16</v>
      </c>
      <c r="C9">
        <v>6</v>
      </c>
      <c r="D9">
        <f t="shared" si="1"/>
        <v>0.31</v>
      </c>
      <c r="E9">
        <v>70</v>
      </c>
      <c r="F9">
        <f t="shared" si="2"/>
        <v>2.1700000000000001E-2</v>
      </c>
      <c r="I9" t="s">
        <v>16</v>
      </c>
      <c r="J9">
        <v>6</v>
      </c>
      <c r="K9">
        <f t="shared" si="3"/>
        <v>1.5</v>
      </c>
      <c r="L9">
        <v>15</v>
      </c>
      <c r="M9">
        <f t="shared" si="0"/>
        <v>2.2499999999999999E-2</v>
      </c>
    </row>
    <row r="10" spans="1:13" x14ac:dyDescent="0.15">
      <c r="B10" t="s">
        <v>17</v>
      </c>
      <c r="C10">
        <v>9</v>
      </c>
      <c r="D10">
        <f t="shared" si="1"/>
        <v>0.46500000000000002</v>
      </c>
      <c r="E10">
        <v>55</v>
      </c>
      <c r="F10">
        <f t="shared" si="2"/>
        <v>2.5575000000000001E-2</v>
      </c>
      <c r="I10" t="s">
        <v>17</v>
      </c>
      <c r="J10">
        <v>9</v>
      </c>
      <c r="K10">
        <f t="shared" si="3"/>
        <v>2.25</v>
      </c>
      <c r="L10">
        <v>28</v>
      </c>
      <c r="M10">
        <f t="shared" si="0"/>
        <v>6.3E-2</v>
      </c>
    </row>
    <row r="11" spans="1:13" x14ac:dyDescent="0.15">
      <c r="B11" t="s">
        <v>18</v>
      </c>
      <c r="D11">
        <v>0.02</v>
      </c>
      <c r="E11">
        <v>40</v>
      </c>
      <c r="F11">
        <f t="shared" si="2"/>
        <v>8.0000000000000004E-4</v>
      </c>
      <c r="K11">
        <f>SUM(K4:K10)</f>
        <v>12</v>
      </c>
      <c r="L11">
        <v>9</v>
      </c>
      <c r="M11">
        <f t="shared" si="0"/>
        <v>0.108</v>
      </c>
    </row>
    <row r="12" spans="1:13" x14ac:dyDescent="0.15">
      <c r="B12" t="s">
        <v>19</v>
      </c>
      <c r="D12">
        <v>1.5</v>
      </c>
      <c r="E12">
        <v>10.8</v>
      </c>
      <c r="F12">
        <f>E12/1000*D12</f>
        <v>1.6199999999999999E-2</v>
      </c>
      <c r="I12" t="s">
        <v>19</v>
      </c>
      <c r="K12">
        <v>5</v>
      </c>
      <c r="L12">
        <v>10.8</v>
      </c>
      <c r="M12">
        <f t="shared" si="0"/>
        <v>5.3999999999999999E-2</v>
      </c>
    </row>
    <row r="13" spans="1:13" x14ac:dyDescent="0.15">
      <c r="D13">
        <f>SUM(D4:D12)</f>
        <v>4</v>
      </c>
      <c r="F13">
        <f>SUM(F4:F12)</f>
        <v>0.175875</v>
      </c>
      <c r="M13">
        <v>0.22</v>
      </c>
    </row>
    <row r="14" spans="1:13" x14ac:dyDescent="0.15">
      <c r="C14">
        <f>SUM(C4:C10)</f>
        <v>48</v>
      </c>
      <c r="F14">
        <f>F13*1.38</f>
        <v>0.24270749999999999</v>
      </c>
      <c r="M14">
        <f>SUM(M4:M13)</f>
        <v>0.62050000000000005</v>
      </c>
    </row>
    <row r="15" spans="1:13" x14ac:dyDescent="0.15">
      <c r="F15">
        <v>0.15</v>
      </c>
      <c r="M15">
        <f>M14*1.3</f>
        <v>0.80664999999999998</v>
      </c>
    </row>
    <row r="16" spans="1:13" x14ac:dyDescent="0.15">
      <c r="F16" s="1">
        <f>F15+F14</f>
        <v>0.39270749999999999</v>
      </c>
      <c r="M16" s="1">
        <f>M15*1.08</f>
        <v>0.87118200000000001</v>
      </c>
    </row>
    <row r="17" spans="1:13" x14ac:dyDescent="0.15">
      <c r="F17" s="2">
        <v>0.39</v>
      </c>
      <c r="M17" s="2">
        <v>0.9</v>
      </c>
    </row>
    <row r="18" spans="1:13" x14ac:dyDescent="0.15">
      <c r="F18" s="2"/>
      <c r="M18" s="2"/>
    </row>
    <row r="19" spans="1:13" x14ac:dyDescent="0.15">
      <c r="F19" s="2"/>
      <c r="M19" s="2"/>
    </row>
    <row r="20" spans="1:13" x14ac:dyDescent="0.15">
      <c r="F20" s="2"/>
      <c r="M20" s="2"/>
    </row>
    <row r="21" spans="1:13" x14ac:dyDescent="0.15">
      <c r="F21" s="2"/>
      <c r="M21" s="2"/>
    </row>
    <row r="22" spans="1:13" x14ac:dyDescent="0.15">
      <c r="A22" s="3" t="s">
        <v>33</v>
      </c>
      <c r="H22" s="3" t="s">
        <v>33</v>
      </c>
    </row>
    <row r="23" spans="1:13" x14ac:dyDescent="0.15">
      <c r="A23" t="s">
        <v>3</v>
      </c>
      <c r="B23" t="s">
        <v>4</v>
      </c>
      <c r="C23" t="s">
        <v>5</v>
      </c>
      <c r="D23" t="s">
        <v>6</v>
      </c>
      <c r="E23" t="s">
        <v>7</v>
      </c>
      <c r="F23" t="s">
        <v>8</v>
      </c>
      <c r="H23" t="s">
        <v>3</v>
      </c>
      <c r="I23" t="s">
        <v>4</v>
      </c>
      <c r="J23" t="s">
        <v>5</v>
      </c>
      <c r="K23" t="s">
        <v>9</v>
      </c>
      <c r="L23" t="s">
        <v>7</v>
      </c>
      <c r="M23" t="s">
        <v>10</v>
      </c>
    </row>
    <row r="24" spans="1:13" x14ac:dyDescent="0.15">
      <c r="B24" t="s">
        <v>20</v>
      </c>
      <c r="C24">
        <v>9</v>
      </c>
      <c r="D24">
        <f>C24/54*2.48</f>
        <v>0.413333333333333</v>
      </c>
      <c r="E24">
        <v>70</v>
      </c>
      <c r="F24">
        <f>E24/1000*D24</f>
        <v>2.8933333333333301E-2</v>
      </c>
      <c r="I24" t="s">
        <v>20</v>
      </c>
      <c r="J24">
        <v>9</v>
      </c>
      <c r="K24">
        <f>J24/5</f>
        <v>1.8</v>
      </c>
      <c r="L24">
        <v>15</v>
      </c>
      <c r="M24">
        <f t="shared" ref="M24:M32" si="4">L24/1000*K24</f>
        <v>2.7E-2</v>
      </c>
    </row>
    <row r="25" spans="1:13" x14ac:dyDescent="0.15">
      <c r="B25" t="s">
        <v>21</v>
      </c>
      <c r="C25">
        <v>9</v>
      </c>
      <c r="D25">
        <f t="shared" ref="D25:D30" si="5">C25/54*2.48</f>
        <v>0.413333333333333</v>
      </c>
      <c r="E25">
        <v>70</v>
      </c>
      <c r="F25">
        <f t="shared" ref="F25:F32" si="6">E25/1000*D25</f>
        <v>2.8933333333333301E-2</v>
      </c>
      <c r="I25" t="s">
        <v>21</v>
      </c>
      <c r="J25">
        <v>9</v>
      </c>
      <c r="K25">
        <f t="shared" ref="K25:K30" si="7">J25/5</f>
        <v>1.8</v>
      </c>
      <c r="L25">
        <v>28</v>
      </c>
      <c r="M25">
        <f t="shared" si="4"/>
        <v>5.04E-2</v>
      </c>
    </row>
    <row r="26" spans="1:13" x14ac:dyDescent="0.15">
      <c r="B26" t="s">
        <v>22</v>
      </c>
      <c r="C26">
        <v>9</v>
      </c>
      <c r="D26">
        <f t="shared" si="5"/>
        <v>0.413333333333333</v>
      </c>
      <c r="E26">
        <v>70</v>
      </c>
      <c r="F26">
        <f t="shared" si="6"/>
        <v>2.8933333333333301E-2</v>
      </c>
      <c r="I26" t="s">
        <v>22</v>
      </c>
      <c r="J26">
        <v>9</v>
      </c>
      <c r="K26">
        <f t="shared" si="7"/>
        <v>1.8</v>
      </c>
      <c r="L26">
        <v>48</v>
      </c>
      <c r="M26">
        <f t="shared" si="4"/>
        <v>8.6400000000000005E-2</v>
      </c>
    </row>
    <row r="27" spans="1:13" x14ac:dyDescent="0.15">
      <c r="B27" t="s">
        <v>23</v>
      </c>
      <c r="C27">
        <v>6</v>
      </c>
      <c r="D27">
        <f t="shared" si="5"/>
        <v>0.275555555555556</v>
      </c>
      <c r="E27">
        <v>70</v>
      </c>
      <c r="F27">
        <f t="shared" si="6"/>
        <v>1.9288888888888901E-2</v>
      </c>
      <c r="I27" t="s">
        <v>23</v>
      </c>
      <c r="J27">
        <v>6</v>
      </c>
      <c r="K27">
        <f t="shared" si="7"/>
        <v>1.2</v>
      </c>
      <c r="L27">
        <v>45</v>
      </c>
      <c r="M27">
        <f t="shared" si="4"/>
        <v>5.3999999999999999E-2</v>
      </c>
    </row>
    <row r="28" spans="1:13" x14ac:dyDescent="0.15">
      <c r="B28" t="s">
        <v>24</v>
      </c>
      <c r="C28">
        <v>6</v>
      </c>
      <c r="D28">
        <f t="shared" si="5"/>
        <v>0.275555555555556</v>
      </c>
      <c r="E28">
        <v>70</v>
      </c>
      <c r="F28">
        <f t="shared" si="6"/>
        <v>1.9288888888888901E-2</v>
      </c>
      <c r="I28" t="s">
        <v>24</v>
      </c>
      <c r="J28">
        <v>6</v>
      </c>
      <c r="K28">
        <f t="shared" si="7"/>
        <v>1.2</v>
      </c>
      <c r="L28">
        <v>28</v>
      </c>
      <c r="M28">
        <f t="shared" si="4"/>
        <v>3.3599999999999998E-2</v>
      </c>
    </row>
    <row r="29" spans="1:13" x14ac:dyDescent="0.15">
      <c r="B29" t="s">
        <v>25</v>
      </c>
      <c r="C29">
        <v>6</v>
      </c>
      <c r="D29">
        <f t="shared" si="5"/>
        <v>0.275555555555556</v>
      </c>
      <c r="E29">
        <v>70</v>
      </c>
      <c r="F29">
        <f t="shared" si="6"/>
        <v>1.9288888888888901E-2</v>
      </c>
      <c r="I29" t="s">
        <v>25</v>
      </c>
      <c r="J29">
        <v>6</v>
      </c>
      <c r="K29">
        <f t="shared" si="7"/>
        <v>1.2</v>
      </c>
      <c r="L29">
        <v>14</v>
      </c>
      <c r="M29">
        <f t="shared" si="4"/>
        <v>1.6799999999999999E-2</v>
      </c>
    </row>
    <row r="30" spans="1:13" x14ac:dyDescent="0.15">
      <c r="B30" t="s">
        <v>26</v>
      </c>
      <c r="C30">
        <v>9</v>
      </c>
      <c r="D30">
        <f t="shared" si="5"/>
        <v>0.413333333333333</v>
      </c>
      <c r="E30">
        <v>70</v>
      </c>
      <c r="F30">
        <f t="shared" si="6"/>
        <v>2.8933333333333301E-2</v>
      </c>
      <c r="I30" t="s">
        <v>26</v>
      </c>
      <c r="J30">
        <v>9</v>
      </c>
      <c r="K30">
        <f t="shared" si="7"/>
        <v>1.8</v>
      </c>
      <c r="L30">
        <v>19</v>
      </c>
      <c r="M30">
        <f t="shared" si="4"/>
        <v>3.4200000000000001E-2</v>
      </c>
    </row>
    <row r="31" spans="1:13" x14ac:dyDescent="0.15">
      <c r="B31" t="s">
        <v>18</v>
      </c>
      <c r="D31">
        <v>0.02</v>
      </c>
      <c r="E31">
        <v>40</v>
      </c>
      <c r="F31">
        <f t="shared" si="6"/>
        <v>8.0000000000000004E-4</v>
      </c>
      <c r="K31">
        <f>SUM(K24:K30)</f>
        <v>10.8</v>
      </c>
      <c r="L31">
        <v>9</v>
      </c>
      <c r="M31">
        <f t="shared" si="4"/>
        <v>9.7199999999999995E-2</v>
      </c>
    </row>
    <row r="32" spans="1:13" x14ac:dyDescent="0.15">
      <c r="B32" t="s">
        <v>19</v>
      </c>
      <c r="D32">
        <v>1.5</v>
      </c>
      <c r="E32">
        <v>10.8</v>
      </c>
      <c r="F32">
        <f t="shared" si="6"/>
        <v>1.6199999999999999E-2</v>
      </c>
      <c r="I32" t="s">
        <v>19</v>
      </c>
      <c r="K32">
        <v>5</v>
      </c>
      <c r="L32">
        <v>10.8</v>
      </c>
      <c r="M32">
        <f t="shared" si="4"/>
        <v>5.3999999999999999E-2</v>
      </c>
    </row>
    <row r="33" spans="1:13" x14ac:dyDescent="0.15">
      <c r="D33">
        <f>SUM(D24:D32)</f>
        <v>4</v>
      </c>
      <c r="F33">
        <f>SUM(F24:F32)</f>
        <v>0.19059999999999999</v>
      </c>
      <c r="M33">
        <v>0.22</v>
      </c>
    </row>
    <row r="34" spans="1:13" x14ac:dyDescent="0.15">
      <c r="C34">
        <f>SUM(C24:C30)</f>
        <v>54</v>
      </c>
      <c r="F34">
        <f>F33*1.38</f>
        <v>0.26302799999999998</v>
      </c>
      <c r="M34">
        <f>SUM(M24:M33)</f>
        <v>0.67359999999999998</v>
      </c>
    </row>
    <row r="35" spans="1:13" x14ac:dyDescent="0.15">
      <c r="F35">
        <v>0.15</v>
      </c>
      <c r="M35">
        <f>M34*1.3</f>
        <v>0.87568000000000001</v>
      </c>
    </row>
    <row r="36" spans="1:13" x14ac:dyDescent="0.15">
      <c r="F36">
        <f>F35+F34</f>
        <v>0.41302800000000001</v>
      </c>
      <c r="M36">
        <f>M35*1.08</f>
        <v>0.94573439999999998</v>
      </c>
    </row>
    <row r="37" spans="1:13" x14ac:dyDescent="0.15">
      <c r="F37" s="2">
        <v>0.42</v>
      </c>
      <c r="M37" s="2">
        <v>0.95</v>
      </c>
    </row>
    <row r="39" spans="1:13" x14ac:dyDescent="0.15">
      <c r="A39" t="s">
        <v>27</v>
      </c>
      <c r="H39" t="s">
        <v>27</v>
      </c>
    </row>
    <row r="40" spans="1:13" x14ac:dyDescent="0.15">
      <c r="A40" t="s">
        <v>3</v>
      </c>
      <c r="B40" t="s">
        <v>4</v>
      </c>
      <c r="C40" t="s">
        <v>5</v>
      </c>
      <c r="D40" t="s">
        <v>6</v>
      </c>
      <c r="E40" t="s">
        <v>7</v>
      </c>
      <c r="F40" t="s">
        <v>8</v>
      </c>
      <c r="H40" t="s">
        <v>3</v>
      </c>
      <c r="I40" t="s">
        <v>4</v>
      </c>
      <c r="J40" t="s">
        <v>5</v>
      </c>
      <c r="K40" t="s">
        <v>9</v>
      </c>
      <c r="L40" t="s">
        <v>7</v>
      </c>
      <c r="M40" t="s">
        <v>10</v>
      </c>
    </row>
    <row r="41" spans="1:13" x14ac:dyDescent="0.15">
      <c r="B41" t="s">
        <v>26</v>
      </c>
      <c r="C41">
        <v>6</v>
      </c>
      <c r="D41">
        <f t="shared" ref="D41:D46" si="8">C41/36*2.48</f>
        <v>0.413333333333333</v>
      </c>
      <c r="E41">
        <v>70</v>
      </c>
      <c r="F41">
        <f>E41/1000*D41</f>
        <v>2.8933333333333301E-2</v>
      </c>
      <c r="I41" t="s">
        <v>26</v>
      </c>
      <c r="J41">
        <v>6</v>
      </c>
      <c r="K41">
        <f t="shared" ref="K41:K46" si="9">J41/3</f>
        <v>2</v>
      </c>
      <c r="L41">
        <v>19</v>
      </c>
      <c r="M41">
        <f t="shared" ref="M41:M48" si="10">L41/1000*K41</f>
        <v>3.7999999999999999E-2</v>
      </c>
    </row>
    <row r="42" spans="1:13" x14ac:dyDescent="0.15">
      <c r="B42" t="s">
        <v>16</v>
      </c>
      <c r="C42">
        <v>6</v>
      </c>
      <c r="D42">
        <f t="shared" si="8"/>
        <v>0.413333333333333</v>
      </c>
      <c r="E42">
        <v>70</v>
      </c>
      <c r="F42">
        <f t="shared" ref="F42:F48" si="11">E42/1000*D42</f>
        <v>2.8933333333333301E-2</v>
      </c>
      <c r="I42" t="s">
        <v>16</v>
      </c>
      <c r="J42">
        <v>6</v>
      </c>
      <c r="K42">
        <f t="shared" si="9"/>
        <v>2</v>
      </c>
      <c r="L42">
        <v>15</v>
      </c>
      <c r="M42">
        <f t="shared" si="10"/>
        <v>0.03</v>
      </c>
    </row>
    <row r="43" spans="1:13" x14ac:dyDescent="0.15">
      <c r="B43" t="s">
        <v>24</v>
      </c>
      <c r="C43">
        <v>3</v>
      </c>
      <c r="D43">
        <f t="shared" si="8"/>
        <v>0.206666666666667</v>
      </c>
      <c r="E43">
        <v>75</v>
      </c>
      <c r="F43">
        <f t="shared" si="11"/>
        <v>1.55E-2</v>
      </c>
      <c r="I43" t="s">
        <v>24</v>
      </c>
      <c r="J43">
        <v>3</v>
      </c>
      <c r="K43">
        <f t="shared" si="9"/>
        <v>1</v>
      </c>
      <c r="L43">
        <v>28</v>
      </c>
      <c r="M43">
        <f t="shared" si="10"/>
        <v>2.8000000000000001E-2</v>
      </c>
    </row>
    <row r="44" spans="1:13" x14ac:dyDescent="0.15">
      <c r="B44" t="s">
        <v>28</v>
      </c>
      <c r="C44">
        <v>12</v>
      </c>
      <c r="D44">
        <f t="shared" si="8"/>
        <v>0.82666666666666699</v>
      </c>
      <c r="E44">
        <v>70</v>
      </c>
      <c r="F44">
        <f t="shared" si="11"/>
        <v>5.7866666666666698E-2</v>
      </c>
      <c r="I44" t="s">
        <v>28</v>
      </c>
      <c r="J44">
        <v>12</v>
      </c>
      <c r="K44">
        <f t="shared" si="9"/>
        <v>4</v>
      </c>
      <c r="L44">
        <v>12</v>
      </c>
      <c r="M44">
        <f t="shared" si="10"/>
        <v>4.8000000000000001E-2</v>
      </c>
    </row>
    <row r="45" spans="1:13" x14ac:dyDescent="0.15">
      <c r="B45" t="s">
        <v>29</v>
      </c>
      <c r="C45">
        <v>6</v>
      </c>
      <c r="D45">
        <f t="shared" si="8"/>
        <v>0.413333333333333</v>
      </c>
      <c r="E45">
        <v>70</v>
      </c>
      <c r="F45">
        <f t="shared" si="11"/>
        <v>2.8933333333333301E-2</v>
      </c>
      <c r="I45" t="s">
        <v>29</v>
      </c>
      <c r="J45">
        <v>6</v>
      </c>
      <c r="K45">
        <f t="shared" si="9"/>
        <v>2</v>
      </c>
      <c r="L45">
        <v>15</v>
      </c>
      <c r="M45">
        <f t="shared" si="10"/>
        <v>0.03</v>
      </c>
    </row>
    <row r="46" spans="1:13" x14ac:dyDescent="0.15">
      <c r="B46" t="s">
        <v>30</v>
      </c>
      <c r="C46">
        <v>3</v>
      </c>
      <c r="D46">
        <f t="shared" si="8"/>
        <v>0.206666666666667</v>
      </c>
      <c r="E46">
        <v>75</v>
      </c>
      <c r="F46">
        <f t="shared" si="11"/>
        <v>1.55E-2</v>
      </c>
      <c r="I46" t="s">
        <v>30</v>
      </c>
      <c r="J46">
        <v>3</v>
      </c>
      <c r="K46">
        <f t="shared" si="9"/>
        <v>1</v>
      </c>
      <c r="L46">
        <v>38</v>
      </c>
      <c r="M46">
        <f t="shared" si="10"/>
        <v>3.7999999999999999E-2</v>
      </c>
    </row>
    <row r="47" spans="1:13" x14ac:dyDescent="0.15">
      <c r="B47" t="s">
        <v>18</v>
      </c>
      <c r="D47">
        <v>0.02</v>
      </c>
      <c r="E47">
        <v>40</v>
      </c>
      <c r="F47">
        <f t="shared" si="11"/>
        <v>8.0000000000000004E-4</v>
      </c>
      <c r="K47">
        <f>SUM(K41:K46)</f>
        <v>12</v>
      </c>
      <c r="L47">
        <v>9</v>
      </c>
      <c r="M47">
        <f t="shared" si="10"/>
        <v>0.108</v>
      </c>
    </row>
    <row r="48" spans="1:13" x14ac:dyDescent="0.15">
      <c r="B48" t="s">
        <v>19</v>
      </c>
      <c r="D48">
        <v>1.5</v>
      </c>
      <c r="E48">
        <v>10.8</v>
      </c>
      <c r="F48">
        <f t="shared" si="11"/>
        <v>1.6199999999999999E-2</v>
      </c>
      <c r="I48" t="s">
        <v>19</v>
      </c>
      <c r="K48">
        <v>8</v>
      </c>
      <c r="L48">
        <v>10.8</v>
      </c>
      <c r="M48">
        <f t="shared" si="10"/>
        <v>8.6400000000000005E-2</v>
      </c>
    </row>
    <row r="49" spans="1:13" x14ac:dyDescent="0.15">
      <c r="D49">
        <f>SUM(D41:D48)</f>
        <v>4</v>
      </c>
      <c r="F49">
        <f>SUM(F41:F48)</f>
        <v>0.19266666666666701</v>
      </c>
      <c r="K49">
        <f>SUM(K41:K48)</f>
        <v>32</v>
      </c>
      <c r="M49">
        <v>0.22</v>
      </c>
    </row>
    <row r="50" spans="1:13" x14ac:dyDescent="0.15">
      <c r="C50">
        <f>SUM(C41:C46)</f>
        <v>36</v>
      </c>
      <c r="F50">
        <f>F49*1.38</f>
        <v>0.26588000000000001</v>
      </c>
      <c r="M50">
        <f>SUM(M41:M49)</f>
        <v>0.62639999999999996</v>
      </c>
    </row>
    <row r="51" spans="1:13" x14ac:dyDescent="0.15">
      <c r="F51">
        <v>0.15</v>
      </c>
      <c r="M51">
        <f>M50*1.3</f>
        <v>0.81432000000000004</v>
      </c>
    </row>
    <row r="52" spans="1:13" x14ac:dyDescent="0.15">
      <c r="F52">
        <f>F50+F51</f>
        <v>0.41588000000000003</v>
      </c>
      <c r="M52">
        <f>M51*1.08</f>
        <v>0.87946559999999996</v>
      </c>
    </row>
    <row r="53" spans="1:13" x14ac:dyDescent="0.15">
      <c r="F53" s="2">
        <v>0.43</v>
      </c>
      <c r="M53" s="2">
        <v>0.9</v>
      </c>
    </row>
    <row r="57" spans="1:13" x14ac:dyDescent="0.15">
      <c r="A57" t="s">
        <v>31</v>
      </c>
      <c r="H57" t="s">
        <v>31</v>
      </c>
    </row>
    <row r="58" spans="1:13" x14ac:dyDescent="0.15">
      <c r="A58" t="s">
        <v>3</v>
      </c>
      <c r="B58" t="s">
        <v>4</v>
      </c>
      <c r="C58" t="s">
        <v>5</v>
      </c>
      <c r="D58" t="s">
        <v>6</v>
      </c>
      <c r="E58" t="s">
        <v>7</v>
      </c>
      <c r="F58" t="s">
        <v>8</v>
      </c>
      <c r="H58" t="s">
        <v>3</v>
      </c>
      <c r="I58" t="s">
        <v>4</v>
      </c>
      <c r="J58" t="s">
        <v>5</v>
      </c>
      <c r="K58" t="s">
        <v>9</v>
      </c>
      <c r="L58" t="s">
        <v>7</v>
      </c>
      <c r="M58" t="s">
        <v>10</v>
      </c>
    </row>
    <row r="59" spans="1:13" x14ac:dyDescent="0.15">
      <c r="B59" t="s">
        <v>23</v>
      </c>
      <c r="C59">
        <v>6</v>
      </c>
      <c r="D59">
        <f>C59/51*2.48</f>
        <v>0.29176470588235298</v>
      </c>
      <c r="E59">
        <v>70</v>
      </c>
      <c r="F59">
        <f>E59/1000*D59</f>
        <v>2.0423529411764701E-2</v>
      </c>
      <c r="I59" t="s">
        <v>23</v>
      </c>
      <c r="J59">
        <v>6</v>
      </c>
      <c r="K59">
        <f>J59/5</f>
        <v>1.2</v>
      </c>
      <c r="L59">
        <v>35</v>
      </c>
      <c r="M59">
        <f t="shared" ref="M59:M67" si="12">L59/1000*K59</f>
        <v>4.2000000000000003E-2</v>
      </c>
    </row>
    <row r="60" spans="1:13" x14ac:dyDescent="0.15">
      <c r="B60" t="s">
        <v>32</v>
      </c>
      <c r="C60">
        <v>9</v>
      </c>
      <c r="D60">
        <f t="shared" ref="D60:D65" si="13">C60/51*2.48</f>
        <v>0.437647058823529</v>
      </c>
      <c r="E60">
        <v>70</v>
      </c>
      <c r="F60">
        <f t="shared" ref="F60:F67" si="14">E60/1000*D60</f>
        <v>3.0635294117647101E-2</v>
      </c>
      <c r="I60" t="s">
        <v>32</v>
      </c>
      <c r="J60">
        <v>9</v>
      </c>
      <c r="K60">
        <f t="shared" ref="K60:K65" si="15">J60/5</f>
        <v>1.8</v>
      </c>
      <c r="L60">
        <v>45</v>
      </c>
      <c r="M60">
        <f t="shared" si="12"/>
        <v>8.1000000000000003E-2</v>
      </c>
    </row>
    <row r="61" spans="1:13" x14ac:dyDescent="0.15">
      <c r="B61" t="s">
        <v>16</v>
      </c>
      <c r="C61">
        <v>6</v>
      </c>
      <c r="D61">
        <f t="shared" si="13"/>
        <v>0.29176470588235298</v>
      </c>
      <c r="E61">
        <v>70</v>
      </c>
      <c r="F61">
        <f t="shared" si="14"/>
        <v>2.0423529411764701E-2</v>
      </c>
      <c r="I61" t="s">
        <v>16</v>
      </c>
      <c r="J61">
        <v>6</v>
      </c>
      <c r="K61">
        <f t="shared" si="15"/>
        <v>1.2</v>
      </c>
      <c r="L61">
        <v>15</v>
      </c>
      <c r="M61">
        <f t="shared" si="12"/>
        <v>1.7999999999999999E-2</v>
      </c>
    </row>
    <row r="62" spans="1:13" x14ac:dyDescent="0.15">
      <c r="B62" t="s">
        <v>15</v>
      </c>
      <c r="C62">
        <v>12</v>
      </c>
      <c r="D62">
        <f t="shared" si="13"/>
        <v>0.58352941176470596</v>
      </c>
      <c r="E62">
        <v>75</v>
      </c>
      <c r="F62">
        <f t="shared" si="14"/>
        <v>4.37647058823529E-2</v>
      </c>
      <c r="I62" t="s">
        <v>15</v>
      </c>
      <c r="J62">
        <v>12</v>
      </c>
      <c r="K62">
        <f t="shared" si="15"/>
        <v>2.4</v>
      </c>
      <c r="L62">
        <v>25</v>
      </c>
      <c r="M62">
        <f t="shared" si="12"/>
        <v>0.06</v>
      </c>
    </row>
    <row r="63" spans="1:13" x14ac:dyDescent="0.15">
      <c r="B63" t="s">
        <v>24</v>
      </c>
      <c r="C63">
        <v>3</v>
      </c>
      <c r="D63">
        <f t="shared" si="13"/>
        <v>0.14588235294117599</v>
      </c>
      <c r="E63">
        <v>70</v>
      </c>
      <c r="F63">
        <f t="shared" si="14"/>
        <v>1.0211764705882399E-2</v>
      </c>
      <c r="I63" t="s">
        <v>24</v>
      </c>
      <c r="J63">
        <v>3</v>
      </c>
      <c r="K63">
        <f t="shared" si="15"/>
        <v>0.6</v>
      </c>
      <c r="L63">
        <v>28</v>
      </c>
      <c r="M63">
        <f t="shared" si="12"/>
        <v>1.6799999999999999E-2</v>
      </c>
    </row>
    <row r="64" spans="1:13" x14ac:dyDescent="0.15">
      <c r="B64" t="s">
        <v>26</v>
      </c>
      <c r="C64">
        <v>6</v>
      </c>
      <c r="D64">
        <f t="shared" si="13"/>
        <v>0.29176470588235298</v>
      </c>
      <c r="E64">
        <v>70</v>
      </c>
      <c r="F64">
        <f t="shared" si="14"/>
        <v>2.0423529411764701E-2</v>
      </c>
      <c r="I64" t="s">
        <v>26</v>
      </c>
      <c r="J64">
        <v>6</v>
      </c>
      <c r="K64">
        <f t="shared" si="15"/>
        <v>1.2</v>
      </c>
      <c r="L64">
        <v>19</v>
      </c>
      <c r="M64">
        <f t="shared" si="12"/>
        <v>2.2800000000000001E-2</v>
      </c>
    </row>
    <row r="65" spans="2:13" x14ac:dyDescent="0.15">
      <c r="B65" t="s">
        <v>22</v>
      </c>
      <c r="C65">
        <v>9</v>
      </c>
      <c r="D65">
        <f t="shared" si="13"/>
        <v>0.437647058823529</v>
      </c>
      <c r="E65">
        <v>80</v>
      </c>
      <c r="F65">
        <f t="shared" si="14"/>
        <v>3.5011764705882402E-2</v>
      </c>
      <c r="I65" t="s">
        <v>22</v>
      </c>
      <c r="J65">
        <v>9</v>
      </c>
      <c r="K65">
        <f t="shared" si="15"/>
        <v>1.8</v>
      </c>
      <c r="L65">
        <v>48</v>
      </c>
      <c r="M65">
        <f t="shared" si="12"/>
        <v>8.6400000000000005E-2</v>
      </c>
    </row>
    <row r="66" spans="2:13" x14ac:dyDescent="0.15">
      <c r="B66" t="s">
        <v>18</v>
      </c>
      <c r="D66">
        <v>0.02</v>
      </c>
      <c r="E66">
        <v>40</v>
      </c>
      <c r="F66">
        <f t="shared" si="14"/>
        <v>8.0000000000000004E-4</v>
      </c>
      <c r="K66">
        <f>SUM(K59:K65)</f>
        <v>10.199999999999999</v>
      </c>
      <c r="L66">
        <v>9</v>
      </c>
      <c r="M66">
        <f t="shared" si="12"/>
        <v>9.1800000000000007E-2</v>
      </c>
    </row>
    <row r="67" spans="2:13" x14ac:dyDescent="0.15">
      <c r="B67" t="s">
        <v>19</v>
      </c>
      <c r="D67">
        <v>1.5</v>
      </c>
      <c r="E67">
        <v>10.8</v>
      </c>
      <c r="F67">
        <f t="shared" si="14"/>
        <v>1.6199999999999999E-2</v>
      </c>
      <c r="I67" t="s">
        <v>19</v>
      </c>
      <c r="K67">
        <v>5</v>
      </c>
      <c r="L67">
        <v>10.8</v>
      </c>
      <c r="M67">
        <f t="shared" si="12"/>
        <v>5.3999999999999999E-2</v>
      </c>
    </row>
    <row r="68" spans="2:13" x14ac:dyDescent="0.15">
      <c r="D68">
        <f>SUM(D59:D67)</f>
        <v>4</v>
      </c>
      <c r="F68">
        <f>SUM(F59:F67)</f>
        <v>0.197894117647059</v>
      </c>
      <c r="M68">
        <v>0.22</v>
      </c>
    </row>
    <row r="69" spans="2:13" x14ac:dyDescent="0.15">
      <c r="C69">
        <f>SUM(C59:C65)</f>
        <v>51</v>
      </c>
      <c r="F69">
        <f>F68*1.38</f>
        <v>0.27309388235294102</v>
      </c>
      <c r="M69">
        <f>SUM(M59:M68)</f>
        <v>0.69279999999999997</v>
      </c>
    </row>
    <row r="70" spans="2:13" x14ac:dyDescent="0.15">
      <c r="F70">
        <v>0.15</v>
      </c>
      <c r="M70">
        <f>M69*1.3</f>
        <v>0.90064</v>
      </c>
    </row>
    <row r="71" spans="2:13" x14ac:dyDescent="0.15">
      <c r="F71">
        <f>F70+F69</f>
        <v>0.42309388235294099</v>
      </c>
      <c r="M71">
        <f>M70*1.08</f>
        <v>0.97269119999999998</v>
      </c>
    </row>
    <row r="72" spans="2:13" x14ac:dyDescent="0.15">
      <c r="F72" s="2">
        <v>0.43</v>
      </c>
      <c r="M72" s="2">
        <v>1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xprety BD</cp:lastModifiedBy>
  <dcterms:created xsi:type="dcterms:W3CDTF">2023-05-12T11:15:00Z</dcterms:created>
  <dcterms:modified xsi:type="dcterms:W3CDTF">2026-03-25T11:43:34Z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8E6BC7BA6FD8429CA5E45E05A5E30A3E_12</vt:lpwstr>
  </property>
  <property fmtid="{D5CDD505-2E9C-101B-9397-08002B2CF9AE}" pid="4" name="CalculationRule">
    <vt:i4>0</vt:i4>
  </property>
</Properties>
</file>