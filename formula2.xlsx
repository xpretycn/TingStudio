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 activeTab="1"/>
  </bookViews>
  <sheets>
    <sheet name="Sheet1" sheetId="18" r:id="rId1"/>
    <sheet name="Sheet2" sheetId="19" r:id="rId2"/>
  </sheets>
  <definedNames>
    <definedName name="_xlnm.Print_Area" localSheetId="1">Sheet2!$A$1:$G$15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<sst xmlns="http://schemas.openxmlformats.org/spreadsheetml/2006/main" count="123" uniqueCount="32">
  <si>
    <t xml:space="preserve">健脾疏肝膏 10g </t>
  </si>
  <si>
    <t>润肠通便，体感强。成本1.1</t>
  </si>
  <si>
    <t>成分</t>
  </si>
  <si>
    <t>100g投料</t>
  </si>
  <si>
    <t>单价</t>
  </si>
  <si>
    <t>10g量</t>
  </si>
  <si>
    <t>10g成本</t>
  </si>
  <si>
    <t>备注</t>
  </si>
  <si>
    <t>配料</t>
  </si>
  <si>
    <t>10g价格</t>
  </si>
  <si>
    <t>报价10g/袋</t>
  </si>
  <si>
    <t>佛手</t>
  </si>
  <si>
    <t>0.9元/袋，含税不含运，不含内外包装</t>
  </si>
  <si>
    <t>0.73元/袋，含税，不含内外包装及运费。</t>
  </si>
  <si>
    <t xml:space="preserve">重瓣玫瑰花 </t>
  </si>
  <si>
    <t xml:space="preserve">玫瑰 </t>
  </si>
  <si>
    <t xml:space="preserve">茯苓 </t>
  </si>
  <si>
    <t xml:space="preserve">山药 </t>
  </si>
  <si>
    <t xml:space="preserve">桔梗 </t>
  </si>
  <si>
    <t xml:space="preserve">甘草 </t>
  </si>
  <si>
    <t>低聚异麦芽糖</t>
  </si>
  <si>
    <t>适量</t>
  </si>
  <si>
    <t>小计</t>
  </si>
  <si>
    <t>1.55元/袋，含税不含运，不含内外包装</t>
  </si>
  <si>
    <t>蜂蜜</t>
  </si>
  <si>
    <t>麦芽糖</t>
  </si>
  <si>
    <t>0.79元/袋，含税，不含内外包装及运费。</t>
  </si>
  <si>
    <t xml:space="preserve">佛手玫苓膏  </t>
  </si>
  <si>
    <t>用饮片，客户要做型检，重金属铅、铬，农残、二氧化硫。</t>
  </si>
  <si>
    <t>山梨酸钾</t>
  </si>
  <si>
    <t>第一次加水</t>
  </si>
  <si>
    <t>第二次加水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</si>
</sst>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2"/>
      <name val="宋体"/>
      <charset val="134"/>
    </font>
    <font>
      <b/>
      <sz val="12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5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76" fontId="0" fillId="0" borderId="1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0" fontId="0" fillId="0" borderId="2" xfId="0" applyBorder="1">
      <alignment vertical="center"/>
    </xf>
    <xf numFmtId="176" fontId="0" fillId="0" borderId="0" xfId="0" applyNumberFormat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176" fontId="0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1" xfId="0" applyFont="1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9" xfId="0" applyBorder="1">
      <alignment vertical="center"/>
    </xf>
    <xf numFmtId="176" fontId="0" fillId="0" borderId="9" xfId="0" applyNumberFormat="1" applyBorder="1">
      <alignment vertical="center"/>
    </xf>
    <xf numFmtId="0" fontId="0" fillId="0" borderId="10" xfId="0" applyBorder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176" fontId="0" fillId="0" borderId="1" xfId="0" applyNumberFormat="1" applyBorder="1" applyAlignment="1">
      <alignment horizontal="left" vertical="top" wrapText="1"/>
    </xf>
    <xf numFmtId="176" fontId="0" fillId="0" borderId="2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Font="1" applyBorder="1">
      <alignment vertical="center"/>
    </xf>
    <xf numFmtId="0" fontId="0" fillId="0" borderId="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topLeftCell="A7" workbookViewId="0">
      <selection activeCell="A7" sqref="$A1:$XFD1048576"/>
    </sheetView>
  </sheetViews>
  <sheetFormatPr defaultColWidth="9" defaultRowHeight="14.25"/>
  <cols>
    <col min="1" max="1" width="22" style="40" customWidth="1"/>
    <col min="3" max="3" width="10.875" customWidth="1"/>
    <col min="4" max="4" width="13.75" style="3" customWidth="1"/>
    <col min="5" max="5" width="19.875" style="3" customWidth="1"/>
    <col min="6" max="7" width="20.375" customWidth="1"/>
    <col min="8" max="8" width="15.625" customWidth="1"/>
    <col min="9" max="9" width="13" customWidth="1"/>
    <col min="10" max="10" width="13.25" customWidth="1"/>
    <col min="11" max="11" width="17.5" style="3" customWidth="1"/>
    <col min="13" max="13" width="14.125" customWidth="1"/>
    <col min="14" max="14" width="15.125" customWidth="1"/>
    <col min="17" max="17" width="33.625" customWidth="1"/>
  </cols>
  <sheetData>
    <row r="1" customFormat="1" ht="18" customHeight="1" spans="1:17">
      <c r="A1" s="41" t="s">
        <v>0</v>
      </c>
      <c r="B1" s="41"/>
      <c r="C1" s="41"/>
      <c r="D1" s="42"/>
      <c r="E1" s="43"/>
      <c r="F1" s="44"/>
      <c r="G1" s="10"/>
      <c r="H1" s="11" t="s">
        <v>0</v>
      </c>
      <c r="I1" s="11"/>
      <c r="J1" s="11"/>
      <c r="K1" s="3"/>
      <c r="Q1" t="s">
        <v>1</v>
      </c>
    </row>
    <row r="2" customFormat="1" ht="18" customHeight="1" spans="1:17">
      <c r="A2" s="12" t="s">
        <v>2</v>
      </c>
      <c r="B2" s="13" t="s">
        <v>3</v>
      </c>
      <c r="C2" s="13" t="s">
        <v>4</v>
      </c>
      <c r="D2" s="14" t="s">
        <v>5</v>
      </c>
      <c r="E2" s="15" t="s">
        <v>6</v>
      </c>
      <c r="F2" s="16" t="s">
        <v>7</v>
      </c>
      <c r="H2" s="13" t="s">
        <v>8</v>
      </c>
      <c r="I2" s="13" t="s">
        <v>3</v>
      </c>
      <c r="J2" s="13" t="s">
        <v>9</v>
      </c>
      <c r="K2" s="17"/>
      <c r="L2" s="10"/>
      <c r="M2" s="12" t="s">
        <v>2</v>
      </c>
      <c r="N2" s="13" t="s">
        <v>10</v>
      </c>
    </row>
    <row r="3" customFormat="1" ht="18" customHeight="1" spans="1:17">
      <c r="A3" s="22" t="s">
        <v>11</v>
      </c>
      <c r="B3" s="13">
        <v>12</v>
      </c>
      <c r="C3" s="13">
        <v>60</v>
      </c>
      <c r="D3" s="14">
        <f t="shared" ref="D3:D8" si="0">B3/10</f>
        <v>1.2</v>
      </c>
      <c r="E3" s="15">
        <f t="shared" ref="E3:E10" si="1">C3/1000*D3</f>
        <v>0.072</v>
      </c>
      <c r="F3" s="16"/>
      <c r="H3" s="21" t="s">
        <v>11</v>
      </c>
      <c r="I3" s="22">
        <v>12</v>
      </c>
      <c r="J3" s="23" t="s">
        <v>12</v>
      </c>
      <c r="K3" s="17"/>
      <c r="L3" s="10"/>
      <c r="M3" s="22" t="s">
        <v>11</v>
      </c>
      <c r="N3" s="24" t="s">
        <v>13</v>
      </c>
    </row>
    <row r="4" customFormat="1" ht="18" customHeight="1" spans="1:17">
      <c r="A4" s="22" t="s">
        <v>14</v>
      </c>
      <c r="B4" s="13">
        <v>10</v>
      </c>
      <c r="C4" s="13">
        <v>70</v>
      </c>
      <c r="D4" s="14">
        <f t="shared" si="0"/>
        <v>1</v>
      </c>
      <c r="E4" s="15">
        <f t="shared" si="1"/>
        <v>0.07</v>
      </c>
      <c r="F4" s="16"/>
      <c r="H4" s="21" t="s">
        <v>14</v>
      </c>
      <c r="I4" s="22">
        <v>10</v>
      </c>
      <c r="J4" s="26"/>
      <c r="K4" s="17"/>
      <c r="L4" s="10"/>
      <c r="M4" s="22" t="s">
        <v>15</v>
      </c>
      <c r="N4" s="24"/>
    </row>
    <row r="5" customFormat="1" ht="18" customHeight="1" spans="1:17">
      <c r="A5" s="22" t="s">
        <v>16</v>
      </c>
      <c r="B5" s="13">
        <v>10</v>
      </c>
      <c r="C5" s="13">
        <v>35</v>
      </c>
      <c r="D5" s="14">
        <f t="shared" si="0"/>
        <v>1</v>
      </c>
      <c r="E5" s="15">
        <f t="shared" si="1"/>
        <v>0.035</v>
      </c>
      <c r="F5" s="16"/>
      <c r="H5" s="21" t="s">
        <v>16</v>
      </c>
      <c r="I5" s="22">
        <v>10</v>
      </c>
      <c r="J5" s="26"/>
      <c r="K5" s="17"/>
      <c r="L5" s="10"/>
      <c r="M5" s="22" t="s">
        <v>16</v>
      </c>
      <c r="N5" s="24"/>
    </row>
    <row r="6" customFormat="1" ht="18" customHeight="1" spans="1:17">
      <c r="A6" s="22" t="s">
        <v>17</v>
      </c>
      <c r="B6" s="13">
        <v>8</v>
      </c>
      <c r="C6" s="13">
        <v>48</v>
      </c>
      <c r="D6" s="14">
        <f t="shared" si="0"/>
        <v>0.8</v>
      </c>
      <c r="E6" s="15">
        <f t="shared" si="1"/>
        <v>0.0384</v>
      </c>
      <c r="F6" s="16"/>
      <c r="H6" s="21" t="s">
        <v>17</v>
      </c>
      <c r="I6" s="22">
        <v>8</v>
      </c>
      <c r="J6" s="26"/>
      <c r="K6" s="17"/>
      <c r="L6" s="10"/>
      <c r="M6" s="22" t="s">
        <v>17</v>
      </c>
      <c r="N6" s="24"/>
    </row>
    <row r="7" customFormat="1" ht="18" customHeight="1" spans="1:17">
      <c r="A7" s="22" t="s">
        <v>18</v>
      </c>
      <c r="B7" s="13">
        <v>6</v>
      </c>
      <c r="C7" s="13">
        <v>56</v>
      </c>
      <c r="D7" s="14">
        <f t="shared" si="0"/>
        <v>0.6</v>
      </c>
      <c r="E7" s="15">
        <f t="shared" si="1"/>
        <v>0.0336</v>
      </c>
      <c r="F7" s="16"/>
      <c r="H7" s="21" t="s">
        <v>18</v>
      </c>
      <c r="I7" s="22">
        <v>6</v>
      </c>
      <c r="J7" s="26"/>
      <c r="K7" s="17"/>
      <c r="L7" s="10"/>
      <c r="M7" s="22" t="s">
        <v>18</v>
      </c>
      <c r="N7" s="24"/>
    </row>
    <row r="8" s="1" customFormat="1" ht="18" customHeight="1" spans="1:17">
      <c r="A8" s="29" t="s">
        <v>19</v>
      </c>
      <c r="B8" s="27">
        <v>4</v>
      </c>
      <c r="C8" s="27">
        <v>40</v>
      </c>
      <c r="D8" s="14">
        <f t="shared" si="0"/>
        <v>0.4</v>
      </c>
      <c r="E8" s="15">
        <f t="shared" si="1"/>
        <v>0.016</v>
      </c>
      <c r="F8" s="45"/>
      <c r="H8" s="28" t="s">
        <v>19</v>
      </c>
      <c r="I8" s="29">
        <v>4</v>
      </c>
      <c r="J8" s="26"/>
      <c r="K8" s="30"/>
      <c r="L8" s="31"/>
      <c r="M8" s="29" t="s">
        <v>19</v>
      </c>
      <c r="N8" s="32"/>
    </row>
    <row r="9" customFormat="1" ht="18" customHeight="1" spans="1:17">
      <c r="A9" s="22">
        <f>D9*0.16</f>
        <v>0.8</v>
      </c>
      <c r="B9" s="13"/>
      <c r="C9" s="13">
        <v>9</v>
      </c>
      <c r="D9" s="14">
        <f>SUM(D3:D8)</f>
        <v>5</v>
      </c>
      <c r="E9" s="15">
        <f t="shared" si="1"/>
        <v>0.045</v>
      </c>
      <c r="F9" s="16"/>
      <c r="H9" s="21" t="s">
        <v>20</v>
      </c>
      <c r="I9" s="22" t="s">
        <v>21</v>
      </c>
      <c r="J9" s="33"/>
      <c r="K9" s="17"/>
      <c r="L9" s="10"/>
      <c r="M9" s="22">
        <f>P9*0.18</f>
        <v>0</v>
      </c>
      <c r="N9" s="24"/>
    </row>
    <row r="10" customFormat="1" ht="18" customHeight="1" spans="1:17">
      <c r="A10" s="22" t="s">
        <v>20</v>
      </c>
      <c r="B10" s="13"/>
      <c r="C10" s="13">
        <v>11</v>
      </c>
      <c r="D10" s="14">
        <f>10-A9</f>
        <v>9.2</v>
      </c>
      <c r="E10" s="15">
        <f t="shared" si="1"/>
        <v>0.1012</v>
      </c>
      <c r="F10" s="16"/>
      <c r="K10" s="3"/>
      <c r="M10" s="22" t="s">
        <v>20</v>
      </c>
    </row>
    <row r="11" customFormat="1" ht="18" customHeight="1" spans="1:17">
      <c r="A11" s="22"/>
      <c r="B11" s="13"/>
      <c r="C11" s="13"/>
      <c r="D11" s="14"/>
      <c r="E11" s="15">
        <v>0.2</v>
      </c>
      <c r="F11" s="16"/>
      <c r="K11" s="3"/>
    </row>
    <row r="12" customFormat="1" ht="18" customHeight="1" spans="1:17">
      <c r="A12" s="22"/>
      <c r="B12" s="13"/>
      <c r="C12" s="13"/>
      <c r="D12" s="14"/>
      <c r="E12" s="15">
        <f>SUM(E3:E11)</f>
        <v>0.6112</v>
      </c>
      <c r="F12" s="16" t="s">
        <v>22</v>
      </c>
      <c r="K12" s="3"/>
    </row>
    <row r="13" customFormat="1" ht="18" customHeight="1" spans="1:17">
      <c r="A13" s="22"/>
      <c r="B13" s="13"/>
      <c r="C13" s="13"/>
      <c r="D13" s="14"/>
      <c r="E13" s="14"/>
      <c r="F13" s="16"/>
      <c r="H13" s="11" t="s">
        <v>0</v>
      </c>
      <c r="I13" s="11"/>
      <c r="J13" s="11"/>
      <c r="K13" s="3"/>
    </row>
    <row r="14" customFormat="1" ht="18" customHeight="1" spans="1:17">
      <c r="A14" s="22"/>
      <c r="B14" s="13"/>
      <c r="C14" s="13"/>
      <c r="D14" s="14"/>
      <c r="E14" s="14">
        <f>E12*F14</f>
        <v>0.79456</v>
      </c>
      <c r="F14" s="16">
        <v>1.3</v>
      </c>
      <c r="H14" s="13" t="s">
        <v>8</v>
      </c>
      <c r="I14" s="13" t="s">
        <v>3</v>
      </c>
      <c r="J14" s="13" t="s">
        <v>9</v>
      </c>
      <c r="K14" s="3"/>
    </row>
    <row r="15" customFormat="1" ht="18" customHeight="1" spans="1:17">
      <c r="A15" s="46"/>
      <c r="B15" s="36"/>
      <c r="C15" s="36"/>
      <c r="D15" s="37"/>
      <c r="E15" s="37">
        <f>E14*F15</f>
        <v>0.8581248</v>
      </c>
      <c r="F15" s="38">
        <v>1.08</v>
      </c>
      <c r="H15" s="21" t="s">
        <v>11</v>
      </c>
      <c r="I15" s="22">
        <v>12</v>
      </c>
      <c r="J15" s="23" t="s">
        <v>23</v>
      </c>
      <c r="K15" s="3"/>
    </row>
    <row r="16" spans="1:17">
      <c r="H16" s="21" t="s">
        <v>14</v>
      </c>
      <c r="I16" s="22">
        <v>10</v>
      </c>
      <c r="J16" s="26"/>
    </row>
    <row r="17" spans="1:14">
      <c r="H17" s="21" t="s">
        <v>16</v>
      </c>
      <c r="I17" s="22">
        <v>10</v>
      </c>
      <c r="J17" s="26"/>
    </row>
    <row r="18" spans="1:14">
      <c r="H18" s="21" t="s">
        <v>17</v>
      </c>
      <c r="I18" s="22">
        <v>8</v>
      </c>
      <c r="J18" s="26"/>
    </row>
    <row r="19" spans="1:14">
      <c r="H19" s="21" t="s">
        <v>18</v>
      </c>
      <c r="I19" s="22">
        <v>6</v>
      </c>
      <c r="J19" s="26"/>
    </row>
    <row r="20" spans="1:14">
      <c r="H20" s="28" t="s">
        <v>19</v>
      </c>
      <c r="I20" s="29">
        <v>4</v>
      </c>
      <c r="J20" s="26"/>
    </row>
    <row r="21" ht="19" customHeight="1" spans="1:14">
      <c r="A21" s="41" t="s">
        <v>0</v>
      </c>
      <c r="B21" s="41"/>
      <c r="C21" s="41"/>
      <c r="D21" s="42"/>
      <c r="E21" s="43"/>
      <c r="F21" s="44"/>
      <c r="G21" s="10"/>
      <c r="H21" s="22" t="s">
        <v>24</v>
      </c>
      <c r="I21" s="22" t="s">
        <v>21</v>
      </c>
      <c r="J21" s="26"/>
    </row>
    <row r="22" ht="19" customHeight="1" spans="1:14">
      <c r="A22" s="12" t="s">
        <v>2</v>
      </c>
      <c r="B22" s="13" t="s">
        <v>3</v>
      </c>
      <c r="C22" s="13" t="s">
        <v>4</v>
      </c>
      <c r="D22" s="14" t="s">
        <v>5</v>
      </c>
      <c r="E22" s="15" t="s">
        <v>6</v>
      </c>
      <c r="F22" s="16" t="s">
        <v>7</v>
      </c>
      <c r="H22" s="13" t="s">
        <v>25</v>
      </c>
      <c r="I22" s="22" t="s">
        <v>21</v>
      </c>
      <c r="J22" s="33"/>
      <c r="K22" s="17"/>
      <c r="L22" s="10"/>
      <c r="M22" s="12" t="s">
        <v>2</v>
      </c>
      <c r="N22" s="13" t="s">
        <v>10</v>
      </c>
    </row>
    <row r="23" ht="19" customHeight="1" spans="1:14">
      <c r="A23" s="22" t="s">
        <v>11</v>
      </c>
      <c r="B23" s="13">
        <v>12</v>
      </c>
      <c r="C23" s="13">
        <v>60</v>
      </c>
      <c r="D23" s="14">
        <f t="shared" ref="D23:D28" si="2">B23/10</f>
        <v>1.2</v>
      </c>
      <c r="E23" s="15">
        <f t="shared" ref="E23:E32" si="3">C23/1000*D23</f>
        <v>0.072</v>
      </c>
      <c r="F23" s="16"/>
      <c r="K23" s="17"/>
      <c r="L23" s="10"/>
      <c r="M23" s="22" t="s">
        <v>11</v>
      </c>
      <c r="N23" s="24" t="s">
        <v>26</v>
      </c>
    </row>
    <row r="24" ht="19" customHeight="1" spans="1:14">
      <c r="A24" s="22" t="s">
        <v>14</v>
      </c>
      <c r="B24" s="13">
        <v>10</v>
      </c>
      <c r="C24" s="13">
        <v>70</v>
      </c>
      <c r="D24" s="14">
        <f t="shared" si="2"/>
        <v>1</v>
      </c>
      <c r="E24" s="15">
        <f t="shared" si="3"/>
        <v>0.07</v>
      </c>
      <c r="F24" s="16"/>
      <c r="K24" s="17"/>
      <c r="L24" s="10"/>
      <c r="M24" s="22" t="s">
        <v>15</v>
      </c>
      <c r="N24" s="24"/>
    </row>
    <row r="25" ht="19" customHeight="1" spans="1:14">
      <c r="A25" s="22" t="s">
        <v>16</v>
      </c>
      <c r="B25" s="13">
        <v>10</v>
      </c>
      <c r="C25" s="13">
        <v>35</v>
      </c>
      <c r="D25" s="14">
        <f t="shared" si="2"/>
        <v>1</v>
      </c>
      <c r="E25" s="15">
        <f t="shared" si="3"/>
        <v>0.035</v>
      </c>
      <c r="F25" s="16"/>
      <c r="K25" s="17"/>
      <c r="L25" s="10"/>
      <c r="M25" s="22" t="s">
        <v>16</v>
      </c>
      <c r="N25" s="24"/>
    </row>
    <row r="26" ht="19" customHeight="1" spans="1:14">
      <c r="A26" s="22" t="s">
        <v>17</v>
      </c>
      <c r="B26" s="13">
        <v>8</v>
      </c>
      <c r="C26" s="13">
        <v>48</v>
      </c>
      <c r="D26" s="14">
        <f t="shared" si="2"/>
        <v>0.8</v>
      </c>
      <c r="E26" s="15">
        <f t="shared" si="3"/>
        <v>0.0384</v>
      </c>
      <c r="F26" s="16"/>
      <c r="K26" s="17"/>
      <c r="L26" s="10"/>
      <c r="M26" s="22" t="s">
        <v>17</v>
      </c>
      <c r="N26" s="24"/>
    </row>
    <row r="27" ht="19" customHeight="1" spans="1:14">
      <c r="A27" s="22" t="s">
        <v>18</v>
      </c>
      <c r="B27" s="13">
        <v>6</v>
      </c>
      <c r="C27" s="13">
        <v>56</v>
      </c>
      <c r="D27" s="14">
        <f t="shared" si="2"/>
        <v>0.6</v>
      </c>
      <c r="E27" s="15">
        <f t="shared" si="3"/>
        <v>0.0336</v>
      </c>
      <c r="F27" s="16"/>
      <c r="K27" s="17"/>
      <c r="L27" s="10"/>
      <c r="M27" s="22" t="s">
        <v>18</v>
      </c>
      <c r="N27" s="24"/>
    </row>
    <row r="28" ht="19" customHeight="1" spans="1:14">
      <c r="A28" s="29" t="s">
        <v>19</v>
      </c>
      <c r="B28" s="27">
        <v>4</v>
      </c>
      <c r="C28" s="27">
        <v>40</v>
      </c>
      <c r="D28" s="14">
        <f t="shared" si="2"/>
        <v>0.4</v>
      </c>
      <c r="E28" s="15">
        <f t="shared" si="3"/>
        <v>0.016</v>
      </c>
      <c r="F28" s="45"/>
      <c r="G28" s="1"/>
      <c r="H28" s="1"/>
      <c r="I28" s="1"/>
      <c r="J28" s="1"/>
      <c r="K28" s="30"/>
      <c r="L28" s="31"/>
      <c r="M28" s="29" t="s">
        <v>19</v>
      </c>
      <c r="N28" s="32"/>
    </row>
    <row r="29" ht="19" customHeight="1" spans="1:14">
      <c r="A29" s="22">
        <f>D29*0.16</f>
        <v>0.8</v>
      </c>
      <c r="B29" s="13"/>
      <c r="C29" s="13">
        <v>9</v>
      </c>
      <c r="D29" s="14">
        <f>SUM(D23:D28)</f>
        <v>5</v>
      </c>
      <c r="E29" s="15">
        <f t="shared" si="3"/>
        <v>0.045</v>
      </c>
      <c r="F29" s="16"/>
      <c r="K29" s="17"/>
      <c r="L29" s="10"/>
      <c r="M29" s="22">
        <f>P29*0.18</f>
        <v>0</v>
      </c>
      <c r="N29" s="24"/>
    </row>
    <row r="30" ht="19" customHeight="1" spans="1:14">
      <c r="A30" s="22">
        <f>D30*0.16</f>
        <v>1.472</v>
      </c>
      <c r="B30" s="13"/>
      <c r="C30" s="13">
        <v>11</v>
      </c>
      <c r="D30" s="14">
        <f>10-A29</f>
        <v>9.2</v>
      </c>
      <c r="E30" s="15">
        <f t="shared" si="3"/>
        <v>0.1012</v>
      </c>
      <c r="F30" s="16"/>
      <c r="M30" s="22" t="s">
        <v>20</v>
      </c>
    </row>
    <row r="31" ht="19" customHeight="1" spans="1:14">
      <c r="A31" s="22" t="s">
        <v>24</v>
      </c>
      <c r="B31" s="13"/>
      <c r="C31" s="13">
        <v>50</v>
      </c>
      <c r="D31" s="14">
        <f>(10-D32*0.8-A30)/0.75</f>
        <v>9.23733333333333</v>
      </c>
      <c r="E31" s="15">
        <f t="shared" si="3"/>
        <v>0.461866666666667</v>
      </c>
      <c r="F31" s="16"/>
    </row>
    <row r="32" ht="19" customHeight="1" spans="1:14">
      <c r="A32" s="22" t="s">
        <v>25</v>
      </c>
      <c r="B32" s="13"/>
      <c r="C32" s="13">
        <v>10</v>
      </c>
      <c r="D32" s="14">
        <v>2</v>
      </c>
      <c r="E32" s="15">
        <f t="shared" si="3"/>
        <v>0.02</v>
      </c>
      <c r="F32" s="16" t="s">
        <v>22</v>
      </c>
    </row>
    <row r="33" ht="19" customHeight="1" spans="1:6">
      <c r="A33" s="22"/>
      <c r="B33" s="13"/>
      <c r="C33" s="13"/>
      <c r="D33" s="14"/>
      <c r="E33" s="14">
        <v>0.2</v>
      </c>
      <c r="F33" s="16"/>
    </row>
    <row r="34" ht="19" customHeight="1" spans="1:6">
      <c r="A34" s="22"/>
      <c r="B34" s="13"/>
      <c r="C34" s="13"/>
      <c r="D34" s="14"/>
      <c r="E34" s="14">
        <f>SUM(E23:E33)</f>
        <v>1.09306666666667</v>
      </c>
      <c r="F34" s="16"/>
    </row>
    <row r="35" ht="19" customHeight="1" spans="1:6">
      <c r="A35" s="46"/>
      <c r="B35" s="36"/>
      <c r="C35" s="36"/>
      <c r="D35" s="37"/>
      <c r="E35" s="37">
        <f>E34*1.3</f>
        <v>1.42098666666667</v>
      </c>
      <c r="F35" s="38"/>
    </row>
    <row r="36" ht="19" customHeight="1" spans="1:6">
      <c r="A36" s="46"/>
      <c r="B36" s="36"/>
      <c r="C36" s="36"/>
      <c r="D36" s="37"/>
      <c r="E36" s="37">
        <f>E35*1.08</f>
        <v>1.5346656</v>
      </c>
      <c r="F36" s="38">
        <v>1.08</v>
      </c>
    </row>
  </sheetData>
  <mergeCells count="10">
    <mergeCell ref="A1:F1"/>
    <mergeCell ref="H1:J1"/>
    <mergeCell ref="H13:J13"/>
    <mergeCell ref="A21:F21"/>
    <mergeCell ref="J3:J9"/>
    <mergeCell ref="J15:J22"/>
    <mergeCell ref="N3:N9"/>
    <mergeCell ref="N23:N29"/>
    <mergeCell ref="K2:L8"/>
    <mergeCell ref="K22:L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"/>
  <sheetViews>
    <sheetView tabSelected="1" workbookViewId="0">
      <selection activeCell="A1" sqref="A1:G15"/>
    </sheetView>
  </sheetViews>
  <sheetFormatPr defaultColWidth="9" defaultRowHeight="14.25"/>
  <cols>
    <col min="1" max="1" width="18.375" style="2" customWidth="1"/>
    <col min="2" max="2" width="10.375" style="2" customWidth="1"/>
    <col min="4" max="4" width="7.375" customWidth="1"/>
    <col min="5" max="5" width="13.75" style="3" customWidth="1"/>
    <col min="6" max="6" width="13" style="3" customWidth="1"/>
    <col min="7" max="7" width="15.25" customWidth="1"/>
    <col min="8" max="8" width="20.375" customWidth="1"/>
    <col min="9" max="9" width="15.625" customWidth="1"/>
    <col min="10" max="10" width="13" customWidth="1"/>
    <col min="11" max="11" width="13.25" customWidth="1"/>
    <col min="12" max="12" width="17.5" style="3" customWidth="1"/>
    <col min="14" max="14" width="14.125" customWidth="1"/>
    <col min="15" max="15" width="15.125" customWidth="1"/>
    <col min="18" max="18" width="33.625" customWidth="1"/>
  </cols>
  <sheetData>
    <row r="1" customFormat="1" ht="18" customHeight="1" spans="1:18">
      <c r="A1" s="4" t="s">
        <v>27</v>
      </c>
      <c r="B1" s="5"/>
      <c r="C1" s="6"/>
      <c r="D1" s="6"/>
      <c r="E1" s="7"/>
      <c r="F1" s="8"/>
      <c r="G1" s="9"/>
      <c r="H1" s="10"/>
      <c r="I1" s="11" t="s">
        <v>0</v>
      </c>
      <c r="J1" s="11"/>
      <c r="K1" s="11"/>
      <c r="L1" s="3"/>
      <c r="R1" t="s">
        <v>1</v>
      </c>
    </row>
    <row r="2" customFormat="1" ht="18" customHeight="1" spans="1:18">
      <c r="A2" s="12" t="s">
        <v>2</v>
      </c>
      <c r="B2" s="12">
        <v>900</v>
      </c>
      <c r="C2" s="13" t="s">
        <v>3</v>
      </c>
      <c r="D2" s="13" t="s">
        <v>4</v>
      </c>
      <c r="E2" s="14" t="s">
        <v>5</v>
      </c>
      <c r="F2" s="15" t="s">
        <v>6</v>
      </c>
      <c r="G2" s="16" t="s">
        <v>7</v>
      </c>
      <c r="I2" s="13" t="s">
        <v>8</v>
      </c>
      <c r="J2" s="13" t="s">
        <v>3</v>
      </c>
      <c r="K2" s="13" t="s">
        <v>9</v>
      </c>
      <c r="L2" s="17"/>
      <c r="M2" s="10"/>
      <c r="N2" s="12" t="s">
        <v>2</v>
      </c>
      <c r="O2" s="13" t="s">
        <v>10</v>
      </c>
    </row>
    <row r="3" customFormat="1" ht="18" customHeight="1" spans="1:18">
      <c r="A3" s="12" t="s">
        <v>11</v>
      </c>
      <c r="B3" s="18">
        <f>E3*90</f>
        <v>108</v>
      </c>
      <c r="C3" s="13">
        <v>12</v>
      </c>
      <c r="D3" s="13">
        <v>60</v>
      </c>
      <c r="E3" s="19">
        <f t="shared" ref="E3:E8" si="0">C3/10</f>
        <v>1.2</v>
      </c>
      <c r="F3" s="15">
        <f t="shared" ref="F3:F10" si="1">D3/1000*E3</f>
        <v>0.072</v>
      </c>
      <c r="G3" s="20" t="s">
        <v>28</v>
      </c>
      <c r="I3" s="21" t="s">
        <v>11</v>
      </c>
      <c r="J3" s="22">
        <v>12</v>
      </c>
      <c r="K3" s="23" t="s">
        <v>12</v>
      </c>
      <c r="L3" s="17"/>
      <c r="M3" s="10"/>
      <c r="N3" s="22" t="s">
        <v>11</v>
      </c>
      <c r="O3" s="24" t="s">
        <v>13</v>
      </c>
    </row>
    <row r="4" customFormat="1" ht="18" customHeight="1" spans="1:18">
      <c r="A4" s="12" t="s">
        <v>14</v>
      </c>
      <c r="B4" s="18">
        <f t="shared" ref="B4:B10" si="2">E4*90</f>
        <v>90</v>
      </c>
      <c r="C4" s="13">
        <v>10</v>
      </c>
      <c r="D4" s="13">
        <v>70</v>
      </c>
      <c r="E4" s="19">
        <f t="shared" si="0"/>
        <v>1</v>
      </c>
      <c r="F4" s="15">
        <f t="shared" si="1"/>
        <v>0.07</v>
      </c>
      <c r="G4" s="25"/>
      <c r="I4" s="21" t="s">
        <v>14</v>
      </c>
      <c r="J4" s="22">
        <v>10</v>
      </c>
      <c r="K4" s="26"/>
      <c r="L4" s="17"/>
      <c r="M4" s="10"/>
      <c r="N4" s="22" t="s">
        <v>15</v>
      </c>
      <c r="O4" s="24"/>
    </row>
    <row r="5" customFormat="1" ht="18" customHeight="1" spans="1:18">
      <c r="A5" s="12" t="s">
        <v>16</v>
      </c>
      <c r="B5" s="18">
        <f t="shared" si="2"/>
        <v>90</v>
      </c>
      <c r="C5" s="13">
        <v>10</v>
      </c>
      <c r="D5" s="13">
        <v>35</v>
      </c>
      <c r="E5" s="14">
        <f t="shared" si="0"/>
        <v>1</v>
      </c>
      <c r="F5" s="15">
        <f t="shared" si="1"/>
        <v>0.035</v>
      </c>
      <c r="G5" s="25"/>
      <c r="I5" s="21" t="s">
        <v>16</v>
      </c>
      <c r="J5" s="22">
        <v>10</v>
      </c>
      <c r="K5" s="26"/>
      <c r="L5" s="17"/>
      <c r="M5" s="10"/>
      <c r="N5" s="22" t="s">
        <v>16</v>
      </c>
      <c r="O5" s="24"/>
    </row>
    <row r="6" customFormat="1" ht="18" customHeight="1" spans="1:18">
      <c r="A6" s="12" t="s">
        <v>17</v>
      </c>
      <c r="B6" s="18">
        <f t="shared" si="2"/>
        <v>72</v>
      </c>
      <c r="C6" s="13">
        <v>8</v>
      </c>
      <c r="D6" s="13">
        <v>48</v>
      </c>
      <c r="E6" s="14">
        <f t="shared" si="0"/>
        <v>0.8</v>
      </c>
      <c r="F6" s="15">
        <f t="shared" si="1"/>
        <v>0.0384</v>
      </c>
      <c r="G6" s="25"/>
      <c r="I6" s="21" t="s">
        <v>17</v>
      </c>
      <c r="J6" s="22">
        <v>8</v>
      </c>
      <c r="K6" s="26"/>
      <c r="L6" s="17"/>
      <c r="M6" s="10"/>
      <c r="N6" s="22" t="s">
        <v>17</v>
      </c>
      <c r="O6" s="24"/>
    </row>
    <row r="7" customFormat="1" ht="18" customHeight="1" spans="1:18">
      <c r="A7" s="12" t="s">
        <v>18</v>
      </c>
      <c r="B7" s="18">
        <f t="shared" si="2"/>
        <v>54</v>
      </c>
      <c r="C7" s="13">
        <v>6</v>
      </c>
      <c r="D7" s="13">
        <v>56</v>
      </c>
      <c r="E7" s="19">
        <f t="shared" si="0"/>
        <v>0.6</v>
      </c>
      <c r="F7" s="15">
        <f t="shared" si="1"/>
        <v>0.0336</v>
      </c>
      <c r="G7" s="25"/>
      <c r="I7" s="21" t="s">
        <v>18</v>
      </c>
      <c r="J7" s="22">
        <v>6</v>
      </c>
      <c r="K7" s="26"/>
      <c r="L7" s="17"/>
      <c r="M7" s="10"/>
      <c r="N7" s="22" t="s">
        <v>18</v>
      </c>
      <c r="O7" s="24"/>
    </row>
    <row r="8" s="1" customFormat="1" ht="18" customHeight="1" spans="1:18">
      <c r="A8" s="12" t="s">
        <v>19</v>
      </c>
      <c r="B8" s="18">
        <f t="shared" si="2"/>
        <v>36</v>
      </c>
      <c r="C8" s="27">
        <v>4</v>
      </c>
      <c r="D8" s="27">
        <v>40</v>
      </c>
      <c r="E8" s="14">
        <f t="shared" si="0"/>
        <v>0.4</v>
      </c>
      <c r="F8" s="15">
        <f t="shared" si="1"/>
        <v>0.016</v>
      </c>
      <c r="G8" s="25"/>
      <c r="I8" s="28" t="s">
        <v>19</v>
      </c>
      <c r="J8" s="29">
        <v>4</v>
      </c>
      <c r="K8" s="26"/>
      <c r="L8" s="30"/>
      <c r="M8" s="31"/>
      <c r="N8" s="29" t="s">
        <v>19</v>
      </c>
      <c r="O8" s="32"/>
    </row>
    <row r="9" customFormat="1" ht="18" customHeight="1" spans="1:18">
      <c r="A9" s="18">
        <f>E9*0.25</f>
        <v>1.25</v>
      </c>
      <c r="B9" s="18">
        <f t="shared" si="2"/>
        <v>450</v>
      </c>
      <c r="C9" s="13"/>
      <c r="D9" s="13">
        <v>9</v>
      </c>
      <c r="E9" s="14">
        <f>SUM(E3:E8)</f>
        <v>5</v>
      </c>
      <c r="F9" s="15">
        <f t="shared" si="1"/>
        <v>0.045</v>
      </c>
      <c r="G9" s="25"/>
      <c r="I9" s="21" t="s">
        <v>20</v>
      </c>
      <c r="J9" s="22" t="s">
        <v>21</v>
      </c>
      <c r="K9" s="33"/>
      <c r="L9" s="17"/>
      <c r="M9" s="10"/>
      <c r="N9" s="22">
        <f>Q9*0.18</f>
        <v>0</v>
      </c>
      <c r="O9" s="24"/>
    </row>
    <row r="10" customFormat="1" ht="18" customHeight="1" spans="1:18">
      <c r="A10" s="12" t="s">
        <v>20</v>
      </c>
      <c r="B10" s="18">
        <f t="shared" si="2"/>
        <v>787.5</v>
      </c>
      <c r="C10" s="13"/>
      <c r="D10" s="13">
        <v>11</v>
      </c>
      <c r="E10" s="14">
        <f>10-A9</f>
        <v>8.75</v>
      </c>
      <c r="F10" s="15">
        <f t="shared" si="1"/>
        <v>0.09625</v>
      </c>
      <c r="G10" s="34"/>
      <c r="L10" s="3"/>
      <c r="N10" s="22" t="s">
        <v>20</v>
      </c>
    </row>
    <row r="11" customFormat="1" ht="18" customHeight="1" spans="1:18">
      <c r="A11" s="12" t="s">
        <v>29</v>
      </c>
      <c r="B11" s="18">
        <v>0.4</v>
      </c>
      <c r="C11" s="13"/>
      <c r="D11" s="13"/>
      <c r="E11" s="14"/>
      <c r="F11" s="15">
        <v>0.2</v>
      </c>
      <c r="G11" s="16"/>
      <c r="L11" s="3"/>
    </row>
    <row r="12" customFormat="1" ht="18" customHeight="1" spans="1:18">
      <c r="A12" s="12" t="s">
        <v>30</v>
      </c>
      <c r="B12" s="18">
        <f>B9*8</f>
        <v>3600</v>
      </c>
      <c r="C12" s="13"/>
      <c r="D12" s="13"/>
      <c r="E12" s="14"/>
      <c r="F12" s="15">
        <f>SUM(F3:F11)</f>
        <v>0.60625</v>
      </c>
      <c r="G12" s="16" t="s">
        <v>22</v>
      </c>
      <c r="L12" s="3"/>
    </row>
    <row r="13" customFormat="1" ht="18" customHeight="1" spans="1:18">
      <c r="A13" s="12" t="s">
        <v>31</v>
      </c>
      <c r="B13" s="18">
        <f>B9*6</f>
        <v>2700</v>
      </c>
      <c r="C13" s="13"/>
      <c r="D13" s="13"/>
      <c r="E13" s="14"/>
      <c r="F13" s="14"/>
      <c r="G13" s="16"/>
    </row>
    <row r="14" customFormat="1" ht="18" customHeight="1" spans="1:18">
      <c r="A14" s="18"/>
      <c r="B14" s="18"/>
      <c r="C14" s="13"/>
      <c r="D14" s="13"/>
      <c r="E14" s="14"/>
      <c r="F14" s="14">
        <f>F12*G14</f>
        <v>0.788125</v>
      </c>
      <c r="G14" s="16">
        <v>1.3</v>
      </c>
    </row>
    <row r="15" customFormat="1" ht="18" customHeight="1" spans="1:18">
      <c r="A15" s="35"/>
      <c r="B15" s="35"/>
      <c r="C15" s="36"/>
      <c r="D15" s="36"/>
      <c r="E15" s="37"/>
      <c r="F15" s="37">
        <f>F14*G15</f>
        <v>0.851175</v>
      </c>
      <c r="G15" s="38">
        <v>1.08</v>
      </c>
    </row>
    <row r="16" customFormat="1" spans="1:18">
      <c r="A16" s="2"/>
      <c r="B16" s="2"/>
      <c r="E16" s="3"/>
      <c r="F16" s="3"/>
    </row>
    <row r="17" customFormat="1" spans="1:12">
      <c r="A17" s="2"/>
      <c r="B17" s="2"/>
      <c r="E17" s="3"/>
      <c r="F17" s="3"/>
    </row>
    <row r="18" customFormat="1" spans="1:12">
      <c r="A18" s="2"/>
      <c r="B18" s="2"/>
      <c r="E18" s="3"/>
      <c r="F18" s="3"/>
    </row>
    <row r="19" customFormat="1" spans="1:12">
      <c r="A19" s="2"/>
      <c r="B19" s="2"/>
      <c r="E19" s="3"/>
      <c r="F19" s="3"/>
    </row>
    <row r="20" customFormat="1" spans="1:12">
      <c r="A20" s="2"/>
      <c r="B20" s="2"/>
      <c r="E20" s="3"/>
      <c r="F20" s="3"/>
    </row>
    <row r="21" customFormat="1" ht="19" customHeight="1" spans="1:12">
      <c r="A21" s="39"/>
      <c r="B21" s="39"/>
      <c r="H21" s="10"/>
    </row>
    <row r="22" customFormat="1" ht="19" customHeight="1" spans="1:12">
      <c r="A22" s="39"/>
      <c r="B22" s="39"/>
    </row>
    <row r="23" customFormat="1" ht="19" customHeight="1" spans="1:12">
      <c r="A23" s="39"/>
      <c r="B23" s="39"/>
    </row>
    <row r="24" customFormat="1" ht="19" customHeight="1" spans="1:12">
      <c r="A24" s="39"/>
      <c r="B24" s="39"/>
    </row>
    <row r="25" customFormat="1" ht="19" customHeight="1" spans="1:12">
      <c r="A25" s="39"/>
      <c r="B25" s="39"/>
    </row>
    <row r="26" customFormat="1" ht="19" customHeight="1" spans="1:12">
      <c r="A26" s="39"/>
      <c r="B26" s="39"/>
    </row>
    <row r="27" customFormat="1" ht="19" customHeight="1" spans="1:12">
      <c r="A27" s="39"/>
      <c r="B27" s="39"/>
    </row>
    <row r="28" customFormat="1" ht="19" customHeight="1" spans="1:12">
      <c r="A28" s="39"/>
      <c r="B28" s="39"/>
      <c r="H28" s="1"/>
    </row>
    <row r="29" customFormat="1" ht="19" customHeight="1" spans="1:12">
      <c r="A29" s="39"/>
      <c r="B29" s="39"/>
    </row>
    <row r="30" customFormat="1" ht="19" customHeight="1" spans="1:12">
      <c r="A30" s="39"/>
      <c r="B30" s="39"/>
    </row>
    <row r="31" customFormat="1" ht="19" customHeight="1" spans="1:12">
      <c r="A31" s="39"/>
      <c r="B31" s="39"/>
    </row>
    <row r="32" customFormat="1" ht="19" customHeight="1" spans="1:12">
      <c r="A32" s="39"/>
      <c r="B32" s="39"/>
      <c r="L32" s="3"/>
    </row>
    <row r="33" customFormat="1" ht="19" customHeight="1" spans="1:12">
      <c r="A33" s="39"/>
      <c r="B33" s="39"/>
      <c r="L33" s="3"/>
    </row>
    <row r="34" customFormat="1" ht="19" customHeight="1" spans="1:12">
      <c r="A34" s="39"/>
      <c r="B34" s="39"/>
      <c r="L34" s="3"/>
    </row>
    <row r="35" customFormat="1" ht="19" customHeight="1" spans="1:12">
      <c r="A35" s="39"/>
      <c r="B35" s="39"/>
      <c r="L35" s="3"/>
    </row>
    <row r="36" spans="1:12">
      <c r="A36" s="39"/>
      <c r="B36" s="39"/>
      <c r="E36"/>
      <c r="F36"/>
    </row>
  </sheetData>
  <mergeCells count="6">
    <mergeCell ref="A1:G1"/>
    <mergeCell ref="I1:K1"/>
    <mergeCell ref="G3:G10"/>
    <mergeCell ref="K3:K9"/>
    <mergeCell ref="O3:O9"/>
    <mergeCell ref="L2:M8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WPS_1659506815</cp:lastModifiedBy>
  <dcterms:created xsi:type="dcterms:W3CDTF">2016-12-02T08:54:00Z</dcterms:created>
  <dcterms:modified xsi:type="dcterms:W3CDTF">2026-02-05T05:42:09Z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C1D635BD082045DE959D259969975468_13</vt:lpwstr>
  </property>
  <property fmtid="{D5CDD505-2E9C-101B-9397-08002B2CF9AE}" pid="4" name="CalculationRule">
    <vt:i4>0</vt:i4>
  </property>
</Properties>
</file>